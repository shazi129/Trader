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GitHub\Notes\生活\财务\财报\"/>
    </mc:Choice>
  </mc:AlternateContent>
  <xr:revisionPtr revIDLastSave="0" documentId="13_ncr:1_{49FB55F8-46E4-43F5-B696-1923F1E9715F}" xr6:coauthVersionLast="47" xr6:coauthVersionMax="47" xr10:uidLastSave="{00000000-0000-0000-0000-000000000000}"/>
  <bookViews>
    <workbookView xWindow="-96" yWindow="-96" windowWidth="23232" windowHeight="13992" xr2:uid="{00000000-000D-0000-FFFF-FFFF00000000}"/>
  </bookViews>
  <sheets>
    <sheet name="腾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D11" i="1" s="1"/>
  <c r="R11" i="1"/>
  <c r="C2" i="1"/>
  <c r="D2" i="1" s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/>
  <c r="C25" i="1"/>
  <c r="D25" i="1" s="1"/>
  <c r="C26" i="1"/>
  <c r="D26" i="1" s="1"/>
  <c r="C27" i="1"/>
  <c r="D27" i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 l="1"/>
  <c r="D35" i="1" s="1"/>
  <c r="C36" i="1"/>
  <c r="D36" i="1" s="1"/>
  <c r="C37" i="1"/>
  <c r="D37" i="1" s="1"/>
  <c r="C38" i="1"/>
  <c r="D38" i="1"/>
  <c r="C39" i="1"/>
  <c r="D39" i="1" s="1"/>
  <c r="D40" i="1"/>
  <c r="C40" i="1"/>
  <c r="D41" i="1"/>
  <c r="C41" i="1"/>
  <c r="D42" i="1"/>
  <c r="C42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6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7" i="1"/>
  <c r="M6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R2" i="1"/>
  <c r="R3" i="1"/>
  <c r="R4" i="1"/>
  <c r="R5" i="1"/>
  <c r="R6" i="1"/>
  <c r="R7" i="1"/>
  <c r="R8" i="1"/>
  <c r="R42" i="1"/>
  <c r="R41" i="1"/>
  <c r="R40" i="1"/>
  <c r="R39" i="1"/>
  <c r="R38" i="1"/>
  <c r="R37" i="1"/>
  <c r="R36" i="1"/>
  <c r="R35" i="1"/>
  <c r="R34" i="1"/>
  <c r="R31" i="1"/>
  <c r="R32" i="1"/>
  <c r="R33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0" i="1"/>
  <c r="R9" i="1"/>
</calcChain>
</file>

<file path=xl/sharedStrings.xml><?xml version="1.0" encoding="utf-8"?>
<sst xmlns="http://schemas.openxmlformats.org/spreadsheetml/2006/main" count="65" uniqueCount="65">
  <si>
    <t>2015Q3</t>
    <phoneticPr fontId="1" type="noConversion"/>
  </si>
  <si>
    <t>年度</t>
    <phoneticPr fontId="1" type="noConversion"/>
  </si>
  <si>
    <t>股价(HKD)</t>
    <phoneticPr fontId="1" type="noConversion"/>
  </si>
  <si>
    <t>营收(亿)</t>
    <phoneticPr fontId="1" type="noConversion"/>
  </si>
  <si>
    <t>2015Q4</t>
    <phoneticPr fontId="1" type="noConversion"/>
  </si>
  <si>
    <t>2016Q1</t>
    <phoneticPr fontId="1" type="noConversion"/>
  </si>
  <si>
    <t>2016Q2</t>
    <phoneticPr fontId="1" type="noConversion"/>
  </si>
  <si>
    <t>2016Q3</t>
    <phoneticPr fontId="1" type="noConversion"/>
  </si>
  <si>
    <t>2016Q4</t>
    <phoneticPr fontId="1" type="noConversion"/>
  </si>
  <si>
    <t>2017Q1</t>
    <phoneticPr fontId="1" type="noConversion"/>
  </si>
  <si>
    <t>2017Q2</t>
    <phoneticPr fontId="1" type="noConversion"/>
  </si>
  <si>
    <t>2017Q3</t>
    <phoneticPr fontId="1" type="noConversion"/>
  </si>
  <si>
    <t>2017Q4</t>
    <phoneticPr fontId="1" type="noConversion"/>
  </si>
  <si>
    <t>2018Q1</t>
    <phoneticPr fontId="1" type="noConversion"/>
  </si>
  <si>
    <t>2018Q2</t>
    <phoneticPr fontId="1" type="noConversion"/>
  </si>
  <si>
    <t>2018Q3</t>
    <phoneticPr fontId="1" type="noConversion"/>
  </si>
  <si>
    <t>2018Q4</t>
    <phoneticPr fontId="1" type="noConversion"/>
  </si>
  <si>
    <t>2019Q1</t>
    <phoneticPr fontId="1" type="noConversion"/>
  </si>
  <si>
    <t>2019Q2</t>
    <phoneticPr fontId="1" type="noConversion"/>
  </si>
  <si>
    <t>2019Q3</t>
    <phoneticPr fontId="1" type="noConversion"/>
  </si>
  <si>
    <t>2019Q4</t>
    <phoneticPr fontId="1" type="noConversion"/>
  </si>
  <si>
    <t>2020Q1</t>
    <phoneticPr fontId="1" type="noConversion"/>
  </si>
  <si>
    <t>2020Q2</t>
    <phoneticPr fontId="1" type="noConversion"/>
  </si>
  <si>
    <t>2020Q3</t>
    <phoneticPr fontId="1" type="noConversion"/>
  </si>
  <si>
    <t>2020Q4</t>
    <phoneticPr fontId="1" type="noConversion"/>
  </si>
  <si>
    <t>2021Q1</t>
    <phoneticPr fontId="1" type="noConversion"/>
  </si>
  <si>
    <t>2021Q2</t>
    <phoneticPr fontId="1" type="noConversion"/>
  </si>
  <si>
    <t>2021Q3</t>
    <phoneticPr fontId="1" type="noConversion"/>
  </si>
  <si>
    <t>2021Q4</t>
    <phoneticPr fontId="1" type="noConversion"/>
  </si>
  <si>
    <t>2022Q1</t>
    <phoneticPr fontId="1" type="noConversion"/>
  </si>
  <si>
    <t>2022Q2</t>
    <phoneticPr fontId="1" type="noConversion"/>
  </si>
  <si>
    <t>2022Q3</t>
    <phoneticPr fontId="1" type="noConversion"/>
  </si>
  <si>
    <t>2022Q4</t>
    <phoneticPr fontId="1" type="noConversion"/>
  </si>
  <si>
    <t>2023Q1</t>
    <phoneticPr fontId="1" type="noConversion"/>
  </si>
  <si>
    <t>2023Q2</t>
    <phoneticPr fontId="1" type="noConversion"/>
  </si>
  <si>
    <t>2023Q3</t>
    <phoneticPr fontId="1" type="noConversion"/>
  </si>
  <si>
    <t>2023Q4</t>
    <phoneticPr fontId="1" type="noConversion"/>
  </si>
  <si>
    <t>2024Q1</t>
    <phoneticPr fontId="1" type="noConversion"/>
  </si>
  <si>
    <t>2024Q2</t>
    <phoneticPr fontId="1" type="noConversion"/>
  </si>
  <si>
    <t>2024Q3</t>
    <phoneticPr fontId="1" type="noConversion"/>
  </si>
  <si>
    <t>2024Q4</t>
    <phoneticPr fontId="1" type="noConversion"/>
  </si>
  <si>
    <t>2025Q1</t>
    <phoneticPr fontId="1" type="noConversion"/>
  </si>
  <si>
    <t>2025Q2</t>
    <phoneticPr fontId="1" type="noConversion"/>
  </si>
  <si>
    <t>2025Q3</t>
    <phoneticPr fontId="1" type="noConversion"/>
  </si>
  <si>
    <t>2025Q4</t>
    <phoneticPr fontId="1" type="noConversion"/>
  </si>
  <si>
    <t>营收同比</t>
    <phoneticPr fontId="1" type="noConversion"/>
  </si>
  <si>
    <t>权益总额(亿)</t>
    <phoneticPr fontId="1" type="noConversion"/>
  </si>
  <si>
    <t>IFRS盈利(亿)</t>
    <phoneticPr fontId="1" type="noConversion"/>
  </si>
  <si>
    <t>IFRS盈利同比</t>
    <phoneticPr fontId="1" type="noConversion"/>
  </si>
  <si>
    <t>IFRS每股收益</t>
    <phoneticPr fontId="1" type="noConversion"/>
  </si>
  <si>
    <t>IFRS每股收益率(%)</t>
    <phoneticPr fontId="1" type="noConversion"/>
  </si>
  <si>
    <t>Non-IFRS盈利(亿)</t>
    <phoneticPr fontId="1" type="noConversion"/>
  </si>
  <si>
    <t>Non-IFRS盈利同比</t>
    <phoneticPr fontId="1" type="noConversion"/>
  </si>
  <si>
    <t>Non-IFRS每股收益</t>
    <phoneticPr fontId="1" type="noConversion"/>
  </si>
  <si>
    <t>Non-IFRS每股收益率(%)</t>
    <phoneticPr fontId="1" type="noConversion"/>
  </si>
  <si>
    <t>IFRS应占盈利(亿)</t>
    <phoneticPr fontId="1" type="noConversion"/>
  </si>
  <si>
    <t>Non-IFRS应占盈利(亿)</t>
    <phoneticPr fontId="1" type="noConversion"/>
  </si>
  <si>
    <t>发行股份(亿)</t>
    <phoneticPr fontId="1" type="noConversion"/>
  </si>
  <si>
    <t>市值(亿)</t>
    <phoneticPr fontId="1" type="noConversion"/>
  </si>
  <si>
    <t>资产总额(亿)</t>
    <phoneticPr fontId="1" type="noConversion"/>
  </si>
  <si>
    <t>一般开支(亿)</t>
    <phoneticPr fontId="1" type="noConversion"/>
  </si>
  <si>
    <t>分红</t>
    <phoneticPr fontId="1" type="noConversion"/>
  </si>
  <si>
    <t>推广开支(亿)</t>
    <phoneticPr fontId="1" type="noConversion"/>
  </si>
  <si>
    <t>自由现金流(亿)</t>
    <phoneticPr fontId="1" type="noConversion"/>
  </si>
  <si>
    <t>现金头寸(亿)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</si>
</sst>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);[Red]\(0.000\)"/>
    <numFmt numFmtId="177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176" fontId="0" fillId="3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176" fontId="0" fillId="4" borderId="1" xfId="0" applyNumberFormat="1" applyFill="1" applyBorder="1" applyAlignment="1">
      <alignment horizontal="left"/>
    </xf>
    <xf numFmtId="177" fontId="0" fillId="0" borderId="1" xfId="0" applyNumberFormat="1" applyBorder="1" applyAlignment="1">
      <alignment horizontal="left"/>
    </xf>
    <xf numFmtId="177" fontId="0" fillId="3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3" xfId="0" applyBorder="1" applyAlignment="1">
      <alignment horizontal="center"/>
    </xf>
    <xf numFmtId="0" fontId="0" fillId="5" borderId="3" xfId="0" applyFill="1" applyBorder="1" applyAlignment="1">
      <alignment horizontal="center"/>
    </xf>
    <xf numFmtId="177" fontId="0" fillId="5" borderId="1" xfId="0" applyNumberFormat="1" applyFill="1" applyBorder="1" applyAlignment="1">
      <alignment horizontal="left"/>
    </xf>
    <xf numFmtId="177" fontId="0" fillId="4" borderId="1" xfId="0" applyNumberFormat="1" applyFill="1" applyBorder="1" applyAlignment="1">
      <alignment horizontal="left"/>
    </xf>
    <xf numFmtId="177" fontId="0" fillId="2" borderId="1" xfId="0" applyNumberFormat="1" applyFill="1" applyBorder="1" applyAlignment="1">
      <alignment horizontal="left"/>
    </xf>
    <xf numFmtId="0" fontId="0" fillId="5" borderId="2" xfId="0" applyFill="1" applyBorder="1" applyAlignment="1"/>
    <xf numFmtId="0" fontId="0" fillId="0" borderId="2" xfId="0" applyBorder="1" applyAlignment="1"/>
    <xf numFmtId="0" fontId="0" fillId="5" borderId="4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3"/>
  <sheetViews>
    <sheetView tabSelected="1" workbookViewId="0">
      <pane xSplit="1" ySplit="1" topLeftCell="B32" activePane="bottomRight" state="frozen"/>
      <selection pane="topRight" activeCell="B1" sqref="B1"/>
      <selection pane="bottomLeft" activeCell="A2" sqref="A2"/>
      <selection pane="bottomRight" activeCell="V2" sqref="V2"/>
    </sheetView>
  </sheetViews>
  <sheetFormatPr defaultColWidth="13.546875" defaultRowHeight="24" customHeight="1" x14ac:dyDescent="0.5"/>
  <cols>
    <col min="1" max="14" width="13.546875" style="1"/>
    <col min="15" max="15" width="17.546875" style="1" customWidth="1"/>
    <col min="16" max="17" width="13.546875" style="1"/>
    <col min="18" max="18" width="17.546875" style="2" customWidth="1"/>
    <col min="19" max="19" width="17.1484375" style="2" customWidth="1"/>
    <col min="20" max="20" width="20.796875" style="2" customWidth="1"/>
    <col min="21" max="22" width="16.84765625" style="2" customWidth="1"/>
    <col min="23" max="23" width="20.69921875" style="2" customWidth="1"/>
    <col min="24" max="16384" width="13.546875" style="1"/>
  </cols>
  <sheetData>
    <row r="1" spans="1:23" s="3" customFormat="1" ht="24" customHeight="1" x14ac:dyDescent="0.5">
      <c r="A1" s="17" t="s">
        <v>1</v>
      </c>
      <c r="B1" s="16" t="s">
        <v>2</v>
      </c>
      <c r="C1" s="12" t="s">
        <v>57</v>
      </c>
      <c r="D1" s="18" t="s">
        <v>58</v>
      </c>
      <c r="E1" s="18" t="s">
        <v>59</v>
      </c>
      <c r="F1" s="16" t="s">
        <v>46</v>
      </c>
      <c r="G1" s="16" t="s">
        <v>64</v>
      </c>
      <c r="H1" s="16" t="s">
        <v>63</v>
      </c>
      <c r="I1" s="17" t="s">
        <v>3</v>
      </c>
      <c r="J1" s="17" t="s">
        <v>60</v>
      </c>
      <c r="K1" s="17" t="s">
        <v>62</v>
      </c>
      <c r="L1" s="11" t="s">
        <v>61</v>
      </c>
      <c r="M1" s="17" t="s">
        <v>45</v>
      </c>
      <c r="N1" s="4" t="s">
        <v>47</v>
      </c>
      <c r="O1" s="4" t="s">
        <v>55</v>
      </c>
      <c r="P1" s="4" t="s">
        <v>49</v>
      </c>
      <c r="Q1" s="4" t="s">
        <v>48</v>
      </c>
      <c r="R1" s="5" t="s">
        <v>50</v>
      </c>
      <c r="S1" s="6" t="s">
        <v>51</v>
      </c>
      <c r="T1" s="6" t="s">
        <v>56</v>
      </c>
      <c r="U1" s="6" t="s">
        <v>53</v>
      </c>
      <c r="V1" s="6" t="s">
        <v>52</v>
      </c>
      <c r="W1" s="7" t="s">
        <v>54</v>
      </c>
    </row>
    <row r="2" spans="1:23" s="3" customFormat="1" ht="24" customHeight="1" x14ac:dyDescent="0.5">
      <c r="A2" s="3" t="s">
        <v>0</v>
      </c>
      <c r="B2" s="13">
        <v>125</v>
      </c>
      <c r="C2" s="13">
        <f t="shared" ref="C2:C23" si="0">O2/P2</f>
        <v>93.0625</v>
      </c>
      <c r="D2" s="13">
        <f t="shared" ref="D2:D23" si="1">B2*C2</f>
        <v>11632.8125</v>
      </c>
      <c r="E2" s="13">
        <v>2618.77</v>
      </c>
      <c r="F2" s="13">
        <v>1110.03</v>
      </c>
      <c r="G2" s="13">
        <v>212.39</v>
      </c>
      <c r="H2" s="13">
        <v>66.180000000000007</v>
      </c>
      <c r="I2" s="8">
        <v>265.94</v>
      </c>
      <c r="J2" s="8">
        <v>43.8</v>
      </c>
      <c r="K2" s="8">
        <v>20.420000000000002</v>
      </c>
      <c r="L2" s="8"/>
      <c r="M2" s="8"/>
      <c r="N2" s="9">
        <v>103.31</v>
      </c>
      <c r="O2" s="9">
        <v>74.45</v>
      </c>
      <c r="P2" s="9">
        <v>0.8</v>
      </c>
      <c r="Q2" s="9"/>
      <c r="R2" s="9">
        <f t="shared" ref="R2:R42" si="2">P2*100/B2</f>
        <v>0.64</v>
      </c>
      <c r="S2" s="14">
        <v>105.16</v>
      </c>
      <c r="T2" s="14">
        <v>82.8</v>
      </c>
      <c r="U2" s="14">
        <v>0.89</v>
      </c>
      <c r="V2" s="14"/>
      <c r="W2" s="14">
        <f t="shared" ref="W2:W42" si="3">U2*100/B2</f>
        <v>0.71199999999999997</v>
      </c>
    </row>
    <row r="3" spans="1:23" s="3" customFormat="1" ht="24" customHeight="1" x14ac:dyDescent="0.5">
      <c r="A3" s="3" t="s">
        <v>4</v>
      </c>
      <c r="B3" s="13">
        <v>128.80000000000001</v>
      </c>
      <c r="C3" s="13">
        <f t="shared" si="0"/>
        <v>93.159947984395316</v>
      </c>
      <c r="D3" s="13">
        <f t="shared" si="1"/>
        <v>11999.001300390119</v>
      </c>
      <c r="E3" s="13">
        <v>3068.18</v>
      </c>
      <c r="F3" s="13">
        <v>1221</v>
      </c>
      <c r="G3" s="13">
        <v>191.14</v>
      </c>
      <c r="H3" s="13">
        <v>161.69</v>
      </c>
      <c r="I3" s="8">
        <v>304.41000000000003</v>
      </c>
      <c r="J3" s="8">
        <v>47.66</v>
      </c>
      <c r="K3" s="8">
        <v>30.24</v>
      </c>
      <c r="L3" s="8">
        <v>0.47</v>
      </c>
      <c r="M3" s="8"/>
      <c r="N3" s="9">
        <v>108.88</v>
      </c>
      <c r="O3" s="9">
        <v>71.64</v>
      </c>
      <c r="P3" s="9">
        <v>0.76900000000000002</v>
      </c>
      <c r="Q3" s="9"/>
      <c r="R3" s="9">
        <f t="shared" si="2"/>
        <v>0.59704968944099379</v>
      </c>
      <c r="S3" s="14">
        <v>115.33</v>
      </c>
      <c r="T3" s="14">
        <v>89.53</v>
      </c>
      <c r="U3" s="14">
        <v>0.96099999999999997</v>
      </c>
      <c r="V3" s="14"/>
      <c r="W3" s="14">
        <f t="shared" si="3"/>
        <v>0.74611801242236009</v>
      </c>
    </row>
    <row r="4" spans="1:23" s="3" customFormat="1" ht="24" customHeight="1" x14ac:dyDescent="0.5">
      <c r="A4" s="3" t="s">
        <v>5</v>
      </c>
      <c r="B4" s="13">
        <v>161</v>
      </c>
      <c r="C4" s="13">
        <f t="shared" si="0"/>
        <v>93.608562691131496</v>
      </c>
      <c r="D4" s="13">
        <f t="shared" si="1"/>
        <v>15070.978593272172</v>
      </c>
      <c r="E4" s="13">
        <v>3589.97</v>
      </c>
      <c r="F4" s="13">
        <v>1291.0899999999999</v>
      </c>
      <c r="G4" s="13">
        <v>274.29000000000002</v>
      </c>
      <c r="H4" s="13">
        <v>139.27000000000001</v>
      </c>
      <c r="I4" s="8">
        <v>319.95</v>
      </c>
      <c r="J4" s="8">
        <v>43.68</v>
      </c>
      <c r="K4" s="8">
        <v>20.32</v>
      </c>
      <c r="L4" s="8"/>
      <c r="M4" s="8"/>
      <c r="N4" s="9">
        <v>133.97999999999999</v>
      </c>
      <c r="O4" s="9">
        <v>91.83</v>
      </c>
      <c r="P4" s="9">
        <v>0.98099999999999998</v>
      </c>
      <c r="Q4" s="9"/>
      <c r="R4" s="9">
        <f t="shared" si="2"/>
        <v>0.60931677018633534</v>
      </c>
      <c r="S4" s="14">
        <v>134.84</v>
      </c>
      <c r="T4" s="14">
        <v>100.32</v>
      </c>
      <c r="U4" s="14">
        <v>1.0720000000000001</v>
      </c>
      <c r="V4" s="14"/>
      <c r="W4" s="14">
        <f t="shared" si="3"/>
        <v>0.66583850931677024</v>
      </c>
    </row>
    <row r="5" spans="1:23" s="3" customFormat="1" ht="24" customHeight="1" x14ac:dyDescent="0.5">
      <c r="A5" s="3" t="s">
        <v>6</v>
      </c>
      <c r="B5" s="13">
        <v>195</v>
      </c>
      <c r="C5" s="13">
        <f t="shared" si="0"/>
        <v>93.691099476439803</v>
      </c>
      <c r="D5" s="13">
        <f t="shared" si="1"/>
        <v>18269.764397905761</v>
      </c>
      <c r="E5" s="13">
        <v>4309.59</v>
      </c>
      <c r="F5" s="13">
        <v>1441.21</v>
      </c>
      <c r="G5" s="13">
        <v>240.37</v>
      </c>
      <c r="H5" s="13">
        <v>97.48</v>
      </c>
      <c r="I5" s="8">
        <v>356.91</v>
      </c>
      <c r="J5" s="8">
        <v>52.99</v>
      </c>
      <c r="K5" s="8">
        <v>23.65</v>
      </c>
      <c r="L5" s="8"/>
      <c r="M5" s="8"/>
      <c r="N5" s="9">
        <v>143.29</v>
      </c>
      <c r="O5" s="9">
        <v>107.37</v>
      </c>
      <c r="P5" s="9">
        <v>1.1459999999999999</v>
      </c>
      <c r="Q5" s="9"/>
      <c r="R5" s="9">
        <f t="shared" si="2"/>
        <v>0.58769230769230763</v>
      </c>
      <c r="S5" s="14">
        <v>146.87</v>
      </c>
      <c r="T5" s="14">
        <v>113.19</v>
      </c>
      <c r="U5" s="14">
        <v>1.208</v>
      </c>
      <c r="V5" s="14"/>
      <c r="W5" s="14">
        <f t="shared" si="3"/>
        <v>0.61948717948717946</v>
      </c>
    </row>
    <row r="6" spans="1:23" s="3" customFormat="1" ht="24" customHeight="1" x14ac:dyDescent="0.5">
      <c r="A6" s="3" t="s">
        <v>7</v>
      </c>
      <c r="B6" s="13">
        <v>196.9</v>
      </c>
      <c r="C6" s="13">
        <f t="shared" si="0"/>
        <v>93.880070546737215</v>
      </c>
      <c r="D6" s="13">
        <f t="shared" si="1"/>
        <v>18484.985890652559</v>
      </c>
      <c r="E6" s="13">
        <v>3527.62</v>
      </c>
      <c r="F6" s="13">
        <v>1739.49</v>
      </c>
      <c r="G6" s="13">
        <v>83.68</v>
      </c>
      <c r="H6" s="13">
        <v>141.21</v>
      </c>
      <c r="I6" s="8">
        <v>403.88</v>
      </c>
      <c r="J6" s="8">
        <v>58.83</v>
      </c>
      <c r="K6" s="8">
        <v>32.770000000000003</v>
      </c>
      <c r="L6" s="8"/>
      <c r="M6" s="8">
        <f t="shared" ref="M6:M42" si="4">(I6-I2)*100/I2</f>
        <v>51.868842596074302</v>
      </c>
      <c r="N6" s="9">
        <v>144.6</v>
      </c>
      <c r="O6" s="9">
        <v>106.46</v>
      </c>
      <c r="P6" s="9">
        <v>1.1339999999999999</v>
      </c>
      <c r="Q6" s="9">
        <f t="shared" ref="Q6:Q42" si="5">(N6-N2)*100/N2</f>
        <v>39.967089342754804</v>
      </c>
      <c r="R6" s="9">
        <f t="shared" si="2"/>
        <v>0.57592686642965962</v>
      </c>
      <c r="S6" s="14">
        <v>150.37</v>
      </c>
      <c r="T6" s="14">
        <v>117.37</v>
      </c>
      <c r="U6" s="14">
        <v>1.2509999999999999</v>
      </c>
      <c r="V6" s="14">
        <f t="shared" ref="V6:V42" si="6">(S6-S2)*100/S2</f>
        <v>42.991631799163187</v>
      </c>
      <c r="W6" s="14">
        <f t="shared" si="3"/>
        <v>0.63534789233113254</v>
      </c>
    </row>
    <row r="7" spans="1:23" s="3" customFormat="1" ht="24" customHeight="1" x14ac:dyDescent="0.5">
      <c r="A7" s="3" t="s">
        <v>8</v>
      </c>
      <c r="B7" s="13">
        <v>225</v>
      </c>
      <c r="C7" s="13">
        <f t="shared" si="0"/>
        <v>93.92506690454951</v>
      </c>
      <c r="D7" s="13">
        <f t="shared" si="1"/>
        <v>21133.140053523639</v>
      </c>
      <c r="E7" s="13">
        <v>3958.99</v>
      </c>
      <c r="F7" s="13">
        <v>1862.47</v>
      </c>
      <c r="G7" s="13">
        <v>181.4</v>
      </c>
      <c r="H7" s="13">
        <v>171.56</v>
      </c>
      <c r="I7" s="8">
        <v>438.64</v>
      </c>
      <c r="J7" s="8">
        <v>69.09</v>
      </c>
      <c r="K7" s="8">
        <v>44.62</v>
      </c>
      <c r="L7" s="8">
        <v>0.61</v>
      </c>
      <c r="M7" s="8">
        <f t="shared" si="4"/>
        <v>44.095134851023275</v>
      </c>
      <c r="N7" s="9">
        <v>139.30000000000001</v>
      </c>
      <c r="O7" s="9">
        <v>105.29</v>
      </c>
      <c r="P7" s="9">
        <v>1.121</v>
      </c>
      <c r="Q7" s="9">
        <f t="shared" si="5"/>
        <v>27.939015429831024</v>
      </c>
      <c r="R7" s="9">
        <f t="shared" si="2"/>
        <v>0.49822222222222218</v>
      </c>
      <c r="S7" s="14">
        <v>149.46</v>
      </c>
      <c r="T7" s="14">
        <v>123.32</v>
      </c>
      <c r="U7" s="14">
        <v>1.3129999999999999</v>
      </c>
      <c r="V7" s="14">
        <f t="shared" si="6"/>
        <v>29.593340848001397</v>
      </c>
      <c r="W7" s="14">
        <f t="shared" si="3"/>
        <v>0.58355555555555549</v>
      </c>
    </row>
    <row r="8" spans="1:23" s="10" customFormat="1" ht="24" customHeight="1" x14ac:dyDescent="0.5">
      <c r="A8" s="10" t="s">
        <v>9</v>
      </c>
      <c r="B8" s="13">
        <v>259.8</v>
      </c>
      <c r="C8" s="13">
        <f t="shared" si="0"/>
        <v>93.999999999999986</v>
      </c>
      <c r="D8" s="13">
        <f t="shared" si="1"/>
        <v>24421.199999999997</v>
      </c>
      <c r="E8" s="13">
        <v>4357.38</v>
      </c>
      <c r="F8" s="13">
        <v>2056.87</v>
      </c>
      <c r="G8" s="13">
        <v>275.72000000000003</v>
      </c>
      <c r="H8" s="13">
        <v>242.29</v>
      </c>
      <c r="I8" s="15">
        <v>495.52</v>
      </c>
      <c r="J8" s="15">
        <v>70.12</v>
      </c>
      <c r="K8" s="15">
        <v>31.58</v>
      </c>
      <c r="L8" s="15"/>
      <c r="M8" s="8">
        <f t="shared" si="4"/>
        <v>54.874199093608375</v>
      </c>
      <c r="N8" s="9">
        <v>192.72</v>
      </c>
      <c r="O8" s="9">
        <v>144.76</v>
      </c>
      <c r="P8" s="9">
        <v>1.54</v>
      </c>
      <c r="Q8" s="9">
        <f t="shared" si="5"/>
        <v>43.842364532019715</v>
      </c>
      <c r="R8" s="9">
        <f t="shared" si="2"/>
        <v>0.59276366435719785</v>
      </c>
      <c r="S8" s="14">
        <v>185.2</v>
      </c>
      <c r="T8" s="14">
        <v>142.11000000000001</v>
      </c>
      <c r="U8" s="14">
        <v>1.512</v>
      </c>
      <c r="V8" s="14">
        <f t="shared" si="6"/>
        <v>37.34796796202906</v>
      </c>
      <c r="W8" s="14">
        <f t="shared" si="3"/>
        <v>0.58198614318706687</v>
      </c>
    </row>
    <row r="9" spans="1:23" s="3" customFormat="1" ht="24" customHeight="1" x14ac:dyDescent="0.5">
      <c r="A9" s="3" t="s">
        <v>10</v>
      </c>
      <c r="B9" s="13">
        <v>323.3</v>
      </c>
      <c r="C9" s="13">
        <f t="shared" si="0"/>
        <v>94.022692109334713</v>
      </c>
      <c r="D9" s="13">
        <f t="shared" si="1"/>
        <v>30397.536358947913</v>
      </c>
      <c r="E9" s="13">
        <v>4666.13</v>
      </c>
      <c r="F9" s="13">
        <v>2263.98</v>
      </c>
      <c r="G9" s="13">
        <v>212.67</v>
      </c>
      <c r="H9" s="13">
        <v>175.11</v>
      </c>
      <c r="I9" s="8">
        <v>566.05999999999995</v>
      </c>
      <c r="J9" s="8">
        <v>81.7</v>
      </c>
      <c r="K9" s="8">
        <v>36.6</v>
      </c>
      <c r="L9" s="8"/>
      <c r="M9" s="8">
        <f t="shared" si="4"/>
        <v>58.600207335182517</v>
      </c>
      <c r="N9" s="9">
        <v>225.6</v>
      </c>
      <c r="O9" s="9">
        <v>182.31</v>
      </c>
      <c r="P9" s="9">
        <v>1.9390000000000001</v>
      </c>
      <c r="Q9" s="9">
        <f t="shared" si="5"/>
        <v>57.442947867960086</v>
      </c>
      <c r="R9" s="9">
        <f t="shared" si="2"/>
        <v>0.59975255180946485</v>
      </c>
      <c r="S9" s="14">
        <v>200.36</v>
      </c>
      <c r="T9" s="14">
        <v>163.91</v>
      </c>
      <c r="U9" s="14">
        <v>1.7430000000000001</v>
      </c>
      <c r="V9" s="14">
        <f t="shared" si="6"/>
        <v>36.419963232790906</v>
      </c>
      <c r="W9" s="14">
        <f t="shared" si="3"/>
        <v>0.53912774512836381</v>
      </c>
    </row>
    <row r="10" spans="1:23" s="3" customFormat="1" ht="24" customHeight="1" x14ac:dyDescent="0.5">
      <c r="A10" s="3" t="s">
        <v>11</v>
      </c>
      <c r="B10" s="13">
        <v>383</v>
      </c>
      <c r="C10" s="13">
        <f t="shared" si="0"/>
        <v>94.173640167364027</v>
      </c>
      <c r="D10" s="13">
        <f t="shared" si="1"/>
        <v>36068.50418410042</v>
      </c>
      <c r="E10" s="13">
        <v>5136.18</v>
      </c>
      <c r="F10" s="13">
        <v>2449.0500000000002</v>
      </c>
      <c r="G10" s="13">
        <v>188.62</v>
      </c>
      <c r="H10" s="13">
        <v>274.62</v>
      </c>
      <c r="I10" s="8">
        <v>652.1</v>
      </c>
      <c r="J10" s="8">
        <v>90.58</v>
      </c>
      <c r="K10" s="8">
        <v>48.12</v>
      </c>
      <c r="L10" s="8"/>
      <c r="M10" s="8">
        <f t="shared" si="4"/>
        <v>61.458849163117769</v>
      </c>
      <c r="N10" s="9">
        <v>227.46</v>
      </c>
      <c r="O10" s="9">
        <v>180.06</v>
      </c>
      <c r="P10" s="9">
        <v>1.9119999999999999</v>
      </c>
      <c r="Q10" s="9">
        <f t="shared" si="5"/>
        <v>57.302904564315369</v>
      </c>
      <c r="R10" s="9">
        <f t="shared" si="2"/>
        <v>0.49921671018276759</v>
      </c>
      <c r="S10" s="14">
        <v>216.14</v>
      </c>
      <c r="T10" s="14">
        <v>170.7</v>
      </c>
      <c r="U10" s="14">
        <v>1.8120000000000001</v>
      </c>
      <c r="V10" s="14">
        <f t="shared" si="6"/>
        <v>43.738777681718418</v>
      </c>
      <c r="W10" s="14">
        <f t="shared" si="3"/>
        <v>0.47310704960835515</v>
      </c>
    </row>
    <row r="11" spans="1:23" s="3" customFormat="1" ht="24" customHeight="1" x14ac:dyDescent="0.5">
      <c r="A11" s="3" t="s">
        <v>12</v>
      </c>
      <c r="B11" s="13">
        <v>462.6</v>
      </c>
      <c r="C11" s="13">
        <f t="shared" si="0"/>
        <v>94.274705349048048</v>
      </c>
      <c r="D11" s="13">
        <f t="shared" si="1"/>
        <v>43611.478694469632</v>
      </c>
      <c r="E11" s="13">
        <v>5546.72</v>
      </c>
      <c r="F11" s="13">
        <v>2770.93</v>
      </c>
      <c r="G11" s="13">
        <v>163.32</v>
      </c>
      <c r="H11" s="13">
        <v>241.7</v>
      </c>
      <c r="I11" s="8">
        <v>663.92</v>
      </c>
      <c r="J11" s="8">
        <v>88.11</v>
      </c>
      <c r="K11" s="8">
        <v>60.22</v>
      </c>
      <c r="L11" s="8">
        <v>0.88</v>
      </c>
      <c r="M11" s="8">
        <f t="shared" si="4"/>
        <v>51.358745212474915</v>
      </c>
      <c r="N11" s="9">
        <v>257.24</v>
      </c>
      <c r="O11" s="9">
        <v>207.97</v>
      </c>
      <c r="P11" s="9">
        <v>2.206</v>
      </c>
      <c r="Q11" s="9">
        <f t="shared" si="5"/>
        <v>84.666188083273497</v>
      </c>
      <c r="R11" s="9">
        <f>P11*100/B11</f>
        <v>0.47686986597492431</v>
      </c>
      <c r="S11" s="14">
        <v>218.53</v>
      </c>
      <c r="T11" s="6">
        <v>174.54</v>
      </c>
      <c r="U11" s="6">
        <v>1.8520000000000001</v>
      </c>
      <c r="V11" s="14">
        <f t="shared" si="6"/>
        <v>46.213033587581954</v>
      </c>
      <c r="W11" s="14">
        <f>P11*100/B11</f>
        <v>0.47686986597492431</v>
      </c>
    </row>
    <row r="12" spans="1:23" s="3" customFormat="1" ht="24" customHeight="1" x14ac:dyDescent="0.5">
      <c r="A12" s="3" t="s">
        <v>13</v>
      </c>
      <c r="B12" s="13">
        <v>396.2</v>
      </c>
      <c r="C12" s="13">
        <f t="shared" si="0"/>
        <v>94.291497975708495</v>
      </c>
      <c r="D12" s="13">
        <f t="shared" si="1"/>
        <v>37358.291497975704</v>
      </c>
      <c r="E12" s="13">
        <v>6141.82</v>
      </c>
      <c r="F12" s="13">
        <v>3010.55</v>
      </c>
      <c r="G12" s="13">
        <v>-145.33000000000001</v>
      </c>
      <c r="H12" s="13">
        <v>130</v>
      </c>
      <c r="I12" s="8">
        <v>735.28</v>
      </c>
      <c r="J12" s="8">
        <v>94.3</v>
      </c>
      <c r="K12" s="8">
        <v>55.7</v>
      </c>
      <c r="L12" s="8"/>
      <c r="M12" s="8">
        <f t="shared" si="4"/>
        <v>48.385534388117534</v>
      </c>
      <c r="N12" s="9">
        <v>306.92</v>
      </c>
      <c r="O12" s="9">
        <v>232.9</v>
      </c>
      <c r="P12" s="9">
        <v>2.4700000000000002</v>
      </c>
      <c r="Q12" s="9">
        <f t="shared" si="5"/>
        <v>59.256953092569539</v>
      </c>
      <c r="R12" s="9">
        <f t="shared" si="2"/>
        <v>0.62342251388187797</v>
      </c>
      <c r="S12" s="14">
        <v>252.72</v>
      </c>
      <c r="T12" s="14">
        <v>183.13</v>
      </c>
      <c r="U12" s="14">
        <v>1.9419999999999999</v>
      </c>
      <c r="V12" s="14">
        <f t="shared" si="6"/>
        <v>36.45788336933046</v>
      </c>
      <c r="W12" s="14">
        <f t="shared" si="3"/>
        <v>0.49015648662291772</v>
      </c>
    </row>
    <row r="13" spans="1:23" s="3" customFormat="1" ht="24" customHeight="1" x14ac:dyDescent="0.5">
      <c r="A13" s="3" t="s">
        <v>14</v>
      </c>
      <c r="B13" s="13">
        <v>336</v>
      </c>
      <c r="C13" s="13">
        <f t="shared" si="0"/>
        <v>94.38457474907554</v>
      </c>
      <c r="D13" s="13">
        <f t="shared" si="1"/>
        <v>31713.217115689382</v>
      </c>
      <c r="E13" s="13">
        <v>6468.08</v>
      </c>
      <c r="F13" s="13">
        <v>3207.42</v>
      </c>
      <c r="G13" s="13">
        <v>-353.01</v>
      </c>
      <c r="H13" s="13">
        <v>153.74</v>
      </c>
      <c r="I13" s="8">
        <v>736.75</v>
      </c>
      <c r="J13" s="8">
        <v>98.57</v>
      </c>
      <c r="K13" s="8">
        <v>63.6</v>
      </c>
      <c r="L13" s="8"/>
      <c r="M13" s="8">
        <f t="shared" si="4"/>
        <v>30.154047274140567</v>
      </c>
      <c r="N13" s="9">
        <v>218.07</v>
      </c>
      <c r="O13" s="9">
        <v>178.67</v>
      </c>
      <c r="P13" s="9">
        <v>1.893</v>
      </c>
      <c r="Q13" s="9">
        <f t="shared" si="5"/>
        <v>-3.337765957446809</v>
      </c>
      <c r="R13" s="9">
        <f t="shared" si="2"/>
        <v>0.56339285714285714</v>
      </c>
      <c r="S13" s="14">
        <v>222.58</v>
      </c>
      <c r="T13" s="14">
        <v>197.16</v>
      </c>
      <c r="U13" s="14">
        <v>2.089</v>
      </c>
      <c r="V13" s="14">
        <f t="shared" si="6"/>
        <v>11.090037931722899</v>
      </c>
      <c r="W13" s="14">
        <f t="shared" si="3"/>
        <v>0.62172619047619049</v>
      </c>
    </row>
    <row r="14" spans="1:23" s="3" customFormat="1" ht="24" customHeight="1" x14ac:dyDescent="0.5">
      <c r="A14" s="3" t="s">
        <v>15</v>
      </c>
      <c r="B14" s="13">
        <v>272</v>
      </c>
      <c r="C14" s="13">
        <f t="shared" si="0"/>
        <v>94.503847711624147</v>
      </c>
      <c r="D14" s="13">
        <f t="shared" si="1"/>
        <v>25705.046577561767</v>
      </c>
      <c r="E14" s="13">
        <v>6909.26</v>
      </c>
      <c r="F14" s="13">
        <v>3427.62</v>
      </c>
      <c r="G14" s="13">
        <v>-292.27</v>
      </c>
      <c r="H14" s="13">
        <v>263.54000000000002</v>
      </c>
      <c r="I14" s="8">
        <v>805.95</v>
      </c>
      <c r="J14" s="8">
        <v>108.9</v>
      </c>
      <c r="K14" s="8">
        <v>65.73</v>
      </c>
      <c r="L14" s="8"/>
      <c r="M14" s="8">
        <f t="shared" si="4"/>
        <v>23.593007207483517</v>
      </c>
      <c r="N14" s="9">
        <v>278.61</v>
      </c>
      <c r="O14" s="9">
        <v>233.33</v>
      </c>
      <c r="P14" s="9">
        <v>2.4689999999999999</v>
      </c>
      <c r="Q14" s="9">
        <f t="shared" si="5"/>
        <v>22.487470324452655</v>
      </c>
      <c r="R14" s="9">
        <f t="shared" si="2"/>
        <v>0.907720588235294</v>
      </c>
      <c r="S14" s="14">
        <v>225.63</v>
      </c>
      <c r="T14" s="14">
        <v>197.1</v>
      </c>
      <c r="U14" s="14">
        <v>2.085</v>
      </c>
      <c r="V14" s="14">
        <f t="shared" si="6"/>
        <v>4.3906727121310309</v>
      </c>
      <c r="W14" s="14">
        <f t="shared" si="3"/>
        <v>0.76654411764705888</v>
      </c>
    </row>
    <row r="15" spans="1:23" s="3" customFormat="1" ht="24" customHeight="1" x14ac:dyDescent="0.5">
      <c r="A15" s="3" t="s">
        <v>16</v>
      </c>
      <c r="B15" s="13">
        <v>363</v>
      </c>
      <c r="C15" s="13">
        <f t="shared" si="0"/>
        <v>94.544850498338874</v>
      </c>
      <c r="D15" s="13">
        <f t="shared" si="1"/>
        <v>34319.780730897015</v>
      </c>
      <c r="E15" s="13">
        <v>7235.21</v>
      </c>
      <c r="F15" s="13">
        <v>3562.07</v>
      </c>
      <c r="G15" s="13">
        <v>-121.7</v>
      </c>
      <c r="H15" s="13">
        <v>286.23</v>
      </c>
      <c r="I15" s="8">
        <v>848.96</v>
      </c>
      <c r="J15" s="8">
        <v>113.45</v>
      </c>
      <c r="K15" s="8">
        <v>57.3</v>
      </c>
      <c r="L15" s="8">
        <v>1</v>
      </c>
      <c r="M15" s="8">
        <f t="shared" si="4"/>
        <v>27.870827810579602</v>
      </c>
      <c r="N15" s="9">
        <v>172.88</v>
      </c>
      <c r="O15" s="9">
        <v>142.29</v>
      </c>
      <c r="P15" s="9">
        <v>1.5049999999999999</v>
      </c>
      <c r="Q15" s="9">
        <f t="shared" si="5"/>
        <v>-32.794277717306798</v>
      </c>
      <c r="R15" s="9">
        <f t="shared" si="2"/>
        <v>0.41460055096418735</v>
      </c>
      <c r="S15" s="14">
        <v>223.88</v>
      </c>
      <c r="T15" s="14">
        <v>197.3</v>
      </c>
      <c r="U15" s="14">
        <v>2.0870000000000002</v>
      </c>
      <c r="V15" s="14">
        <f t="shared" si="6"/>
        <v>2.4481764517457529</v>
      </c>
      <c r="W15" s="14">
        <f t="shared" si="3"/>
        <v>0.57493112947658409</v>
      </c>
    </row>
    <row r="16" spans="1:23" s="3" customFormat="1" ht="24" customHeight="1" x14ac:dyDescent="0.5">
      <c r="A16" s="3" t="s">
        <v>17</v>
      </c>
      <c r="B16" s="13">
        <v>374</v>
      </c>
      <c r="C16" s="13">
        <f t="shared" si="0"/>
        <v>94.577685088634013</v>
      </c>
      <c r="D16" s="13">
        <f t="shared" si="1"/>
        <v>35372.05422314912</v>
      </c>
      <c r="E16" s="13">
        <v>7807.47</v>
      </c>
      <c r="F16" s="13">
        <v>3983.03</v>
      </c>
      <c r="G16" s="13">
        <v>-95.95</v>
      </c>
      <c r="H16" s="13">
        <v>239.33</v>
      </c>
      <c r="I16" s="8">
        <v>854.65</v>
      </c>
      <c r="J16" s="8">
        <v>113.31</v>
      </c>
      <c r="K16" s="8">
        <v>42.44</v>
      </c>
      <c r="L16" s="8"/>
      <c r="M16" s="8">
        <f t="shared" si="4"/>
        <v>16.234631704928734</v>
      </c>
      <c r="N16" s="9">
        <v>367.42</v>
      </c>
      <c r="O16" s="9">
        <v>272.10000000000002</v>
      </c>
      <c r="P16" s="9">
        <v>2.8769999999999998</v>
      </c>
      <c r="Q16" s="9">
        <f t="shared" si="5"/>
        <v>19.711977062426691</v>
      </c>
      <c r="R16" s="9">
        <f t="shared" si="2"/>
        <v>0.76925133689839564</v>
      </c>
      <c r="S16" s="14">
        <v>284.7</v>
      </c>
      <c r="T16" s="14">
        <v>209.3</v>
      </c>
      <c r="U16" s="14">
        <v>2.2130000000000001</v>
      </c>
      <c r="V16" s="14">
        <f t="shared" si="6"/>
        <v>12.654320987654318</v>
      </c>
      <c r="W16" s="14">
        <f t="shared" si="3"/>
        <v>0.59171122994652414</v>
      </c>
    </row>
    <row r="17" spans="1:23" s="3" customFormat="1" ht="24" customHeight="1" x14ac:dyDescent="0.5">
      <c r="A17" s="3" t="s">
        <v>18</v>
      </c>
      <c r="B17" s="13">
        <v>340</v>
      </c>
      <c r="C17" s="13">
        <f t="shared" si="0"/>
        <v>94.650980392156882</v>
      </c>
      <c r="D17" s="13">
        <f t="shared" si="1"/>
        <v>32181.333333333339</v>
      </c>
      <c r="E17" s="13">
        <v>8168.64</v>
      </c>
      <c r="F17" s="13">
        <v>4210.32</v>
      </c>
      <c r="G17" s="13">
        <v>-157.66</v>
      </c>
      <c r="H17" s="13">
        <v>206.98</v>
      </c>
      <c r="I17" s="8">
        <v>888.21</v>
      </c>
      <c r="J17" s="8">
        <v>125.77</v>
      </c>
      <c r="K17" s="8">
        <v>47.18</v>
      </c>
      <c r="L17" s="8"/>
      <c r="M17" s="8">
        <f t="shared" si="4"/>
        <v>20.557855446216497</v>
      </c>
      <c r="N17" s="9">
        <v>275.20999999999998</v>
      </c>
      <c r="O17" s="9">
        <v>241.36</v>
      </c>
      <c r="P17" s="9">
        <v>2.5499999999999998</v>
      </c>
      <c r="Q17" s="9">
        <f t="shared" si="5"/>
        <v>26.202595496858798</v>
      </c>
      <c r="R17" s="9">
        <f t="shared" si="2"/>
        <v>0.74999999999999989</v>
      </c>
      <c r="S17" s="14">
        <v>272.81</v>
      </c>
      <c r="T17" s="14">
        <v>235.25</v>
      </c>
      <c r="U17" s="14">
        <v>2.4860000000000002</v>
      </c>
      <c r="V17" s="14">
        <f t="shared" si="6"/>
        <v>22.567166861353215</v>
      </c>
      <c r="W17" s="14">
        <f t="shared" si="3"/>
        <v>0.73117647058823532</v>
      </c>
    </row>
    <row r="18" spans="1:23" s="3" customFormat="1" ht="24" customHeight="1" x14ac:dyDescent="0.5">
      <c r="A18" s="3" t="s">
        <v>19</v>
      </c>
      <c r="B18" s="13">
        <v>327.39999999999998</v>
      </c>
      <c r="C18" s="13">
        <f t="shared" si="0"/>
        <v>94.755927475592756</v>
      </c>
      <c r="D18" s="13">
        <f t="shared" si="1"/>
        <v>31023.090655509066</v>
      </c>
      <c r="E18" s="13">
        <v>8562.2199999999993</v>
      </c>
      <c r="F18" s="13">
        <v>4415.37</v>
      </c>
      <c r="G18" s="13">
        <v>-71.73</v>
      </c>
      <c r="H18" s="13">
        <v>377.32</v>
      </c>
      <c r="I18" s="8">
        <v>972.36</v>
      </c>
      <c r="J18" s="8">
        <v>135.36000000000001</v>
      </c>
      <c r="K18" s="8">
        <v>57.22</v>
      </c>
      <c r="L18" s="8"/>
      <c r="M18" s="8">
        <f t="shared" si="4"/>
        <v>20.647682858738129</v>
      </c>
      <c r="N18" s="9">
        <v>258.27</v>
      </c>
      <c r="O18" s="9">
        <v>203.82</v>
      </c>
      <c r="P18" s="9">
        <v>2.1509999999999998</v>
      </c>
      <c r="Q18" s="9">
        <f t="shared" si="5"/>
        <v>-7.3005276192527297</v>
      </c>
      <c r="R18" s="9">
        <f t="shared" si="2"/>
        <v>0.65699450213805732</v>
      </c>
      <c r="S18" s="14">
        <v>285.44</v>
      </c>
      <c r="T18" s="14">
        <v>244.12</v>
      </c>
      <c r="U18" s="14">
        <v>2.577</v>
      </c>
      <c r="V18" s="14">
        <f t="shared" si="6"/>
        <v>26.50799982271861</v>
      </c>
      <c r="W18" s="14">
        <f t="shared" si="3"/>
        <v>0.78711056811240077</v>
      </c>
    </row>
    <row r="19" spans="1:23" s="3" customFormat="1" ht="24" customHeight="1" x14ac:dyDescent="0.5">
      <c r="A19" s="3" t="s">
        <v>20</v>
      </c>
      <c r="B19" s="13">
        <v>334</v>
      </c>
      <c r="C19" s="13">
        <f t="shared" si="0"/>
        <v>94.741000877963117</v>
      </c>
      <c r="D19" s="13">
        <f t="shared" si="1"/>
        <v>31643.494293239681</v>
      </c>
      <c r="E19" s="13">
        <v>9539.86</v>
      </c>
      <c r="F19" s="13">
        <v>4888.24</v>
      </c>
      <c r="G19" s="13">
        <v>-155.52000000000001</v>
      </c>
      <c r="H19" s="13">
        <v>378.96</v>
      </c>
      <c r="I19" s="8">
        <v>1057.67</v>
      </c>
      <c r="J19" s="8">
        <v>160.02000000000001</v>
      </c>
      <c r="K19" s="8">
        <v>67.12</v>
      </c>
      <c r="L19" s="8">
        <v>1.2</v>
      </c>
      <c r="M19" s="8">
        <f t="shared" si="4"/>
        <v>24.584197135318512</v>
      </c>
      <c r="N19" s="9">
        <v>285.04000000000002</v>
      </c>
      <c r="O19" s="9">
        <v>215.82</v>
      </c>
      <c r="P19" s="9">
        <v>2.278</v>
      </c>
      <c r="Q19" s="9">
        <f t="shared" si="5"/>
        <v>64.877371587228154</v>
      </c>
      <c r="R19" s="9">
        <f t="shared" si="2"/>
        <v>0.68203592814371261</v>
      </c>
      <c r="S19" s="14">
        <v>303.06</v>
      </c>
      <c r="T19" s="14">
        <v>254.84</v>
      </c>
      <c r="U19" s="14">
        <v>2.69</v>
      </c>
      <c r="V19" s="14">
        <f t="shared" si="6"/>
        <v>35.367160979095949</v>
      </c>
      <c r="W19" s="14">
        <f t="shared" si="3"/>
        <v>0.80538922155688619</v>
      </c>
    </row>
    <row r="20" spans="1:23" s="3" customFormat="1" ht="24" customHeight="1" x14ac:dyDescent="0.5">
      <c r="A20" s="3" t="s">
        <v>21</v>
      </c>
      <c r="B20" s="13">
        <v>429.6</v>
      </c>
      <c r="C20" s="13">
        <f t="shared" si="0"/>
        <v>94.772056411938337</v>
      </c>
      <c r="D20" s="13">
        <f t="shared" si="1"/>
        <v>40714.075434568709</v>
      </c>
      <c r="E20" s="13">
        <v>10149.450000000001</v>
      </c>
      <c r="F20" s="13">
        <v>5135.43</v>
      </c>
      <c r="G20" s="13">
        <v>57.16</v>
      </c>
      <c r="H20" s="13">
        <v>332</v>
      </c>
      <c r="I20" s="8">
        <v>1080.6500000000001</v>
      </c>
      <c r="J20" s="8">
        <v>141.58000000000001</v>
      </c>
      <c r="K20" s="8">
        <v>70.489999999999995</v>
      </c>
      <c r="L20" s="8"/>
      <c r="M20" s="8">
        <f t="shared" si="4"/>
        <v>26.443573392616873</v>
      </c>
      <c r="N20" s="9">
        <v>372.6</v>
      </c>
      <c r="O20" s="9">
        <v>288.95999999999998</v>
      </c>
      <c r="P20" s="9">
        <v>3.0489999999999999</v>
      </c>
      <c r="Q20" s="9">
        <f t="shared" si="5"/>
        <v>1.4098307114473918</v>
      </c>
      <c r="R20" s="9">
        <f t="shared" si="2"/>
        <v>0.70972998137802601</v>
      </c>
      <c r="S20" s="14">
        <v>355.75</v>
      </c>
      <c r="T20" s="14">
        <v>270.79000000000002</v>
      </c>
      <c r="U20" s="14">
        <v>2.8580000000000001</v>
      </c>
      <c r="V20" s="14">
        <f t="shared" si="6"/>
        <v>24.956094134176329</v>
      </c>
      <c r="W20" s="14">
        <f t="shared" si="3"/>
        <v>0.66527001862197388</v>
      </c>
    </row>
    <row r="21" spans="1:23" s="3" customFormat="1" ht="24" customHeight="1" x14ac:dyDescent="0.5">
      <c r="A21" s="3" t="s">
        <v>22</v>
      </c>
      <c r="B21" s="13">
        <v>520.5</v>
      </c>
      <c r="C21" s="13">
        <f t="shared" si="0"/>
        <v>94.835290747636776</v>
      </c>
      <c r="D21" s="13">
        <f t="shared" si="1"/>
        <v>49361.768834144939</v>
      </c>
      <c r="E21" s="13">
        <v>11595.44</v>
      </c>
      <c r="F21" s="13">
        <v>6062.73</v>
      </c>
      <c r="G21" s="13">
        <v>72.12</v>
      </c>
      <c r="H21" s="13">
        <v>284.51</v>
      </c>
      <c r="I21" s="8">
        <v>1148.83</v>
      </c>
      <c r="J21" s="8">
        <v>164.99</v>
      </c>
      <c r="K21" s="8">
        <v>77.56</v>
      </c>
      <c r="L21" s="8"/>
      <c r="M21" s="8">
        <f t="shared" si="4"/>
        <v>29.342160074757082</v>
      </c>
      <c r="N21" s="9">
        <v>393.11</v>
      </c>
      <c r="O21" s="9">
        <v>331.07</v>
      </c>
      <c r="P21" s="9">
        <v>3.4910000000000001</v>
      </c>
      <c r="Q21" s="9">
        <f t="shared" si="5"/>
        <v>42.840013080920038</v>
      </c>
      <c r="R21" s="9">
        <f t="shared" si="2"/>
        <v>0.67070124879923154</v>
      </c>
      <c r="S21" s="14">
        <v>376.29</v>
      </c>
      <c r="T21" s="14">
        <v>301.52999999999997</v>
      </c>
      <c r="U21" s="14">
        <v>3.18</v>
      </c>
      <c r="V21" s="14">
        <f t="shared" si="6"/>
        <v>37.931160881199375</v>
      </c>
      <c r="W21" s="14">
        <f t="shared" si="3"/>
        <v>0.61095100864553309</v>
      </c>
    </row>
    <row r="22" spans="1:23" s="3" customFormat="1" ht="24" customHeight="1" x14ac:dyDescent="0.5">
      <c r="A22" s="3" t="s">
        <v>23</v>
      </c>
      <c r="B22" s="13">
        <v>577</v>
      </c>
      <c r="C22" s="13">
        <f t="shared" si="0"/>
        <v>94.954422271495446</v>
      </c>
      <c r="D22" s="13">
        <f t="shared" si="1"/>
        <v>54788.701650652874</v>
      </c>
      <c r="E22" s="13">
        <v>11900.29</v>
      </c>
      <c r="F22" s="13">
        <v>6464.97</v>
      </c>
      <c r="G22" s="13">
        <v>63.6</v>
      </c>
      <c r="H22" s="13">
        <v>281.27</v>
      </c>
      <c r="I22" s="8">
        <v>1254.47</v>
      </c>
      <c r="J22" s="8">
        <v>171.89</v>
      </c>
      <c r="K22" s="8">
        <v>89.2</v>
      </c>
      <c r="L22" s="8"/>
      <c r="M22" s="8">
        <f t="shared" si="4"/>
        <v>29.012917026615657</v>
      </c>
      <c r="N22" s="9">
        <v>439.53</v>
      </c>
      <c r="O22" s="9">
        <v>385.42</v>
      </c>
      <c r="P22" s="9">
        <v>4.0590000000000002</v>
      </c>
      <c r="Q22" s="9">
        <f t="shared" si="5"/>
        <v>70.182367290045306</v>
      </c>
      <c r="R22" s="9">
        <f t="shared" si="2"/>
        <v>0.7034662045060659</v>
      </c>
      <c r="S22" s="14">
        <v>381.16</v>
      </c>
      <c r="T22" s="14">
        <v>323.02999999999997</v>
      </c>
      <c r="U22" s="14">
        <v>3.4020000000000001</v>
      </c>
      <c r="V22" s="14">
        <f t="shared" si="6"/>
        <v>33.534192825112122</v>
      </c>
      <c r="W22" s="14">
        <f t="shared" si="3"/>
        <v>0.58960138648180238</v>
      </c>
    </row>
    <row r="23" spans="1:23" s="3" customFormat="1" ht="24" customHeight="1" x14ac:dyDescent="0.5">
      <c r="A23" s="3" t="s">
        <v>24</v>
      </c>
      <c r="B23" s="13">
        <v>623</v>
      </c>
      <c r="C23" s="13">
        <f t="shared" si="0"/>
        <v>95.035256410256409</v>
      </c>
      <c r="D23" s="13">
        <f t="shared" si="1"/>
        <v>59206.964743589742</v>
      </c>
      <c r="E23" s="13">
        <v>13334.25</v>
      </c>
      <c r="F23" s="13">
        <v>7780.43</v>
      </c>
      <c r="G23" s="13">
        <v>110.63</v>
      </c>
      <c r="H23" s="13">
        <v>276.64</v>
      </c>
      <c r="I23" s="8">
        <v>1336.69</v>
      </c>
      <c r="J23" s="8">
        <v>197.79</v>
      </c>
      <c r="K23" s="8">
        <v>100.33</v>
      </c>
      <c r="L23" s="8">
        <v>1.6</v>
      </c>
      <c r="M23" s="8">
        <f t="shared" si="4"/>
        <v>26.380629118723231</v>
      </c>
      <c r="N23" s="9">
        <v>637.13</v>
      </c>
      <c r="O23" s="9">
        <v>593.02</v>
      </c>
      <c r="P23" s="9">
        <v>6.24</v>
      </c>
      <c r="Q23" s="9">
        <f t="shared" si="5"/>
        <v>123.52301431378051</v>
      </c>
      <c r="R23" s="9">
        <f t="shared" si="2"/>
        <v>1.0016051364365972</v>
      </c>
      <c r="S23" s="14">
        <v>380.84</v>
      </c>
      <c r="T23" s="14">
        <v>332.07</v>
      </c>
      <c r="U23" s="14">
        <v>3.4940000000000002</v>
      </c>
      <c r="V23" s="14">
        <f t="shared" si="6"/>
        <v>25.664884841285545</v>
      </c>
      <c r="W23" s="14">
        <f t="shared" si="3"/>
        <v>0.56083467094703054</v>
      </c>
    </row>
    <row r="24" spans="1:23" s="3" customFormat="1" ht="24" customHeight="1" x14ac:dyDescent="0.5">
      <c r="A24" s="3" t="s">
        <v>25</v>
      </c>
      <c r="B24" s="13">
        <v>609</v>
      </c>
      <c r="C24" s="13">
        <f t="shared" ref="C24" si="7">O24/P24</f>
        <v>95.2191235059761</v>
      </c>
      <c r="D24" s="13">
        <f t="shared" ref="D24" si="8">B24*C24</f>
        <v>57988.446215139447</v>
      </c>
      <c r="E24" s="13">
        <v>14231.33</v>
      </c>
      <c r="F24" s="13">
        <v>8451.4599999999991</v>
      </c>
      <c r="G24" s="13">
        <v>55.81</v>
      </c>
      <c r="H24" s="13">
        <v>332</v>
      </c>
      <c r="I24" s="8">
        <v>1353</v>
      </c>
      <c r="J24" s="8">
        <v>189.67</v>
      </c>
      <c r="K24" s="8">
        <v>85.3</v>
      </c>
      <c r="L24" s="8"/>
      <c r="M24" s="8">
        <f t="shared" si="4"/>
        <v>25.20242446675611</v>
      </c>
      <c r="N24" s="9">
        <v>563</v>
      </c>
      <c r="O24" s="9">
        <v>478</v>
      </c>
      <c r="P24" s="9">
        <v>5.0199999999999996</v>
      </c>
      <c r="Q24" s="9">
        <f t="shared" si="5"/>
        <v>51.100375738056883</v>
      </c>
      <c r="R24" s="9">
        <f t="shared" si="2"/>
        <v>0.82430213464696211</v>
      </c>
      <c r="S24" s="14">
        <v>428</v>
      </c>
      <c r="T24" s="14">
        <v>331</v>
      </c>
      <c r="U24" s="14">
        <v>3.4809999999999999</v>
      </c>
      <c r="V24" s="14">
        <f t="shared" si="6"/>
        <v>20.309205903021784</v>
      </c>
      <c r="W24" s="14">
        <f t="shared" si="3"/>
        <v>0.57159277504105088</v>
      </c>
    </row>
    <row r="25" spans="1:23" s="3" customFormat="1" ht="24" customHeight="1" x14ac:dyDescent="0.5">
      <c r="A25" s="3" t="s">
        <v>26</v>
      </c>
      <c r="B25" s="13">
        <v>436.2</v>
      </c>
      <c r="C25" s="13">
        <f t="shared" ref="C25" si="9">O25/P25</f>
        <v>95.259391771019665</v>
      </c>
      <c r="D25" s="13">
        <f t="shared" ref="D25" si="10">B25*C25</f>
        <v>41552.146690518777</v>
      </c>
      <c r="E25" s="13">
        <v>15177.72</v>
      </c>
      <c r="F25" s="13">
        <v>9269.7099999999991</v>
      </c>
      <c r="G25" s="13">
        <v>209.72</v>
      </c>
      <c r="H25" s="13">
        <v>173</v>
      </c>
      <c r="I25" s="8">
        <v>1383</v>
      </c>
      <c r="J25" s="8">
        <v>226.38</v>
      </c>
      <c r="K25" s="8">
        <v>100.13</v>
      </c>
      <c r="L25" s="8"/>
      <c r="M25" s="8">
        <f t="shared" si="4"/>
        <v>20.383346535170574</v>
      </c>
      <c r="N25" s="9">
        <v>525</v>
      </c>
      <c r="O25" s="9">
        <v>426</v>
      </c>
      <c r="P25" s="9">
        <v>4.4720000000000004</v>
      </c>
      <c r="Q25" s="9">
        <f t="shared" si="5"/>
        <v>33.550405738851715</v>
      </c>
      <c r="R25" s="9">
        <f t="shared" si="2"/>
        <v>1.0252177900045851</v>
      </c>
      <c r="S25" s="14">
        <v>428</v>
      </c>
      <c r="T25" s="14">
        <v>340</v>
      </c>
      <c r="U25" s="14">
        <v>3.5739999999999998</v>
      </c>
      <c r="V25" s="14">
        <f t="shared" si="6"/>
        <v>13.742060644715506</v>
      </c>
      <c r="W25" s="14">
        <f t="shared" si="3"/>
        <v>0.81934892251260882</v>
      </c>
    </row>
    <row r="26" spans="1:23" s="3" customFormat="1" ht="24" customHeight="1" x14ac:dyDescent="0.5">
      <c r="A26" s="3" t="s">
        <v>27</v>
      </c>
      <c r="B26" s="13">
        <v>483.6</v>
      </c>
      <c r="C26" s="13">
        <f t="shared" ref="C26" si="11">O26/P26</f>
        <v>95.341539946898394</v>
      </c>
      <c r="D26" s="13">
        <f t="shared" ref="D26" si="12">B26*C26</f>
        <v>46107.168718320063</v>
      </c>
      <c r="E26" s="13">
        <v>15675.84</v>
      </c>
      <c r="F26" s="13">
        <v>9313.76</v>
      </c>
      <c r="G26" s="13">
        <v>261.45999999999998</v>
      </c>
      <c r="H26" s="13">
        <v>241</v>
      </c>
      <c r="I26" s="8">
        <v>1424</v>
      </c>
      <c r="J26" s="8">
        <v>238.62</v>
      </c>
      <c r="K26" s="8">
        <v>104.35</v>
      </c>
      <c r="L26" s="8"/>
      <c r="M26" s="8">
        <f t="shared" si="4"/>
        <v>13.514073672546969</v>
      </c>
      <c r="N26" s="9">
        <v>531</v>
      </c>
      <c r="O26" s="9">
        <v>395</v>
      </c>
      <c r="P26" s="9">
        <v>4.1429999999999998</v>
      </c>
      <c r="Q26" s="9">
        <f t="shared" si="5"/>
        <v>20.810866152481069</v>
      </c>
      <c r="R26" s="9">
        <f t="shared" si="2"/>
        <v>0.85669975186104208</v>
      </c>
      <c r="S26" s="14">
        <v>408</v>
      </c>
      <c r="T26" s="14">
        <v>318</v>
      </c>
      <c r="U26" s="14">
        <v>3.3290000000000002</v>
      </c>
      <c r="V26" s="14">
        <f t="shared" si="6"/>
        <v>7.0416622940497353</v>
      </c>
      <c r="W26" s="14">
        <f t="shared" si="3"/>
        <v>0.6883788254755997</v>
      </c>
    </row>
    <row r="27" spans="1:23" s="3" customFormat="1" ht="24" customHeight="1" x14ac:dyDescent="0.5">
      <c r="A27" s="3" t="s">
        <v>28</v>
      </c>
      <c r="B27" s="13">
        <v>389</v>
      </c>
      <c r="C27" s="13">
        <f t="shared" ref="C27" si="13">O27/P27</f>
        <v>95.368082755850153</v>
      </c>
      <c r="D27" s="13">
        <f t="shared" ref="D27" si="14">B27*C27</f>
        <v>37098.184192025707</v>
      </c>
      <c r="E27" s="13">
        <v>16123.64</v>
      </c>
      <c r="F27" s="13">
        <v>8766.93</v>
      </c>
      <c r="G27" s="13">
        <v>202.43</v>
      </c>
      <c r="H27" s="13">
        <v>334</v>
      </c>
      <c r="I27" s="8">
        <v>1441.88</v>
      </c>
      <c r="J27" s="8">
        <v>243.8</v>
      </c>
      <c r="K27" s="8">
        <v>116.16</v>
      </c>
      <c r="L27" s="8">
        <v>1.6</v>
      </c>
      <c r="M27" s="8">
        <f t="shared" si="4"/>
        <v>7.8694386881027052</v>
      </c>
      <c r="N27" s="9">
        <v>1097.23</v>
      </c>
      <c r="O27" s="9">
        <v>949.58</v>
      </c>
      <c r="P27" s="9">
        <v>9.9570000000000007</v>
      </c>
      <c r="Q27" s="9">
        <f t="shared" si="5"/>
        <v>72.214461726806149</v>
      </c>
      <c r="R27" s="9">
        <f t="shared" si="2"/>
        <v>2.5596401028277636</v>
      </c>
      <c r="S27" s="14">
        <v>331</v>
      </c>
      <c r="T27" s="14">
        <v>248.8</v>
      </c>
      <c r="U27" s="14">
        <v>2.609</v>
      </c>
      <c r="V27" s="14">
        <f t="shared" si="6"/>
        <v>-13.086860623884039</v>
      </c>
      <c r="W27" s="14">
        <f t="shared" si="3"/>
        <v>0.67069408740359893</v>
      </c>
    </row>
    <row r="28" spans="1:23" s="3" customFormat="1" ht="24" customHeight="1" x14ac:dyDescent="0.5">
      <c r="A28" s="3" t="s">
        <v>29</v>
      </c>
      <c r="B28" s="13">
        <v>365.6</v>
      </c>
      <c r="C28" s="13">
        <f t="shared" ref="C28" si="15">O28/P28</f>
        <v>95.315682281059054</v>
      </c>
      <c r="D28" s="13">
        <f t="shared" ref="D28" si="16">B28*C28</f>
        <v>34847.413441955192</v>
      </c>
      <c r="E28" s="13">
        <v>14941.58</v>
      </c>
      <c r="F28" s="13">
        <v>8452.77</v>
      </c>
      <c r="G28" s="13">
        <v>110.35</v>
      </c>
      <c r="H28" s="13">
        <v>152</v>
      </c>
      <c r="I28" s="8">
        <v>1355</v>
      </c>
      <c r="J28" s="8">
        <v>266.69</v>
      </c>
      <c r="K28" s="8">
        <v>80.58</v>
      </c>
      <c r="L28" s="8"/>
      <c r="M28" s="8">
        <f t="shared" si="4"/>
        <v>0.14781966001478197</v>
      </c>
      <c r="N28" s="9">
        <v>372</v>
      </c>
      <c r="O28" s="9">
        <v>234</v>
      </c>
      <c r="P28" s="9">
        <v>2.4550000000000001</v>
      </c>
      <c r="Q28" s="9">
        <f t="shared" si="5"/>
        <v>-33.925399644760212</v>
      </c>
      <c r="R28" s="9">
        <f t="shared" si="2"/>
        <v>0.67149890590809624</v>
      </c>
      <c r="S28" s="14">
        <v>365</v>
      </c>
      <c r="T28" s="14">
        <v>255</v>
      </c>
      <c r="U28" s="14">
        <v>2.6779999999999999</v>
      </c>
      <c r="V28" s="14">
        <f t="shared" si="6"/>
        <v>-14.719626168224298</v>
      </c>
      <c r="W28" s="14">
        <f t="shared" si="3"/>
        <v>0.73249452954048133</v>
      </c>
    </row>
    <row r="29" spans="1:23" s="3" customFormat="1" ht="24" customHeight="1" x14ac:dyDescent="0.5">
      <c r="A29" s="3" t="s">
        <v>30</v>
      </c>
      <c r="B29" s="13">
        <v>303.2</v>
      </c>
      <c r="C29" s="13">
        <f t="shared" ref="C29" si="17">O29/P29</f>
        <v>95.335725269092777</v>
      </c>
      <c r="D29" s="13">
        <f t="shared" ref="D29" si="18">B29*C29</f>
        <v>28905.791901588927</v>
      </c>
      <c r="E29" s="13">
        <v>14596.69</v>
      </c>
      <c r="F29" s="13">
        <v>8038.81</v>
      </c>
      <c r="G29" s="13">
        <v>204.29</v>
      </c>
      <c r="H29" s="13">
        <v>225</v>
      </c>
      <c r="I29" s="8">
        <v>1340</v>
      </c>
      <c r="J29" s="8">
        <v>262.33</v>
      </c>
      <c r="K29" s="8">
        <v>79.319999999999993</v>
      </c>
      <c r="L29" s="8"/>
      <c r="M29" s="8">
        <f t="shared" si="4"/>
        <v>-3.1091829356471439</v>
      </c>
      <c r="N29" s="9">
        <v>301</v>
      </c>
      <c r="O29" s="9">
        <v>186</v>
      </c>
      <c r="P29" s="9">
        <v>1.9510000000000001</v>
      </c>
      <c r="Q29" s="9">
        <f t="shared" si="5"/>
        <v>-42.666666666666664</v>
      </c>
      <c r="R29" s="9">
        <f t="shared" si="2"/>
        <v>0.64346965699208447</v>
      </c>
      <c r="S29" s="14">
        <v>367</v>
      </c>
      <c r="T29" s="14">
        <v>281</v>
      </c>
      <c r="U29" s="14">
        <v>2.9489999999999998</v>
      </c>
      <c r="V29" s="14">
        <f t="shared" si="6"/>
        <v>-14.252336448598131</v>
      </c>
      <c r="W29" s="14">
        <f t="shared" si="3"/>
        <v>0.97262532981530336</v>
      </c>
    </row>
    <row r="30" spans="1:23" s="3" customFormat="1" ht="24" customHeight="1" x14ac:dyDescent="0.5">
      <c r="A30" s="3" t="s">
        <v>31</v>
      </c>
      <c r="B30" s="13">
        <v>294.39999999999998</v>
      </c>
      <c r="C30" s="13">
        <f t="shared" ref="C30" si="19">O30/P30</f>
        <v>95.294960592309522</v>
      </c>
      <c r="D30" s="13">
        <f t="shared" ref="D30" si="20">B30*C30</f>
        <v>28054.836398375923</v>
      </c>
      <c r="E30" s="13">
        <v>14781.43</v>
      </c>
      <c r="F30" s="13">
        <v>8184.06</v>
      </c>
      <c r="G30" s="13">
        <v>272.70999999999998</v>
      </c>
      <c r="H30" s="13">
        <v>276</v>
      </c>
      <c r="I30" s="8">
        <v>1401</v>
      </c>
      <c r="J30" s="8">
        <v>264.8</v>
      </c>
      <c r="K30" s="8">
        <v>71.239999999999995</v>
      </c>
      <c r="L30" s="8"/>
      <c r="M30" s="8">
        <f t="shared" si="4"/>
        <v>-1.6151685393258426</v>
      </c>
      <c r="N30" s="9">
        <v>516</v>
      </c>
      <c r="O30" s="9">
        <v>399</v>
      </c>
      <c r="P30" s="9">
        <v>4.1870000000000003</v>
      </c>
      <c r="Q30" s="9">
        <f t="shared" si="5"/>
        <v>-2.8248587570621471</v>
      </c>
      <c r="R30" s="9">
        <f t="shared" si="2"/>
        <v>1.4222146739130437</v>
      </c>
      <c r="S30" s="14">
        <v>409</v>
      </c>
      <c r="T30" s="14">
        <v>323</v>
      </c>
      <c r="U30" s="14">
        <v>3.3809999999999998</v>
      </c>
      <c r="V30" s="14">
        <f t="shared" si="6"/>
        <v>0.24509803921568626</v>
      </c>
      <c r="W30" s="14">
        <f t="shared" si="3"/>
        <v>1.1484375</v>
      </c>
    </row>
    <row r="31" spans="1:23" s="3" customFormat="1" ht="24" customHeight="1" x14ac:dyDescent="0.5">
      <c r="A31" s="3" t="s">
        <v>32</v>
      </c>
      <c r="B31" s="13">
        <v>347.2</v>
      </c>
      <c r="C31" s="13">
        <f t="shared" ref="C31" si="21">O31/P31</f>
        <v>95.140069811151889</v>
      </c>
      <c r="D31" s="13">
        <f t="shared" ref="D31" si="22">B31*C31</f>
        <v>33032.632238431936</v>
      </c>
      <c r="E31" s="13">
        <v>15781.31</v>
      </c>
      <c r="F31" s="13">
        <v>7828.6</v>
      </c>
      <c r="G31" s="13">
        <v>148.32</v>
      </c>
      <c r="H31" s="13">
        <v>231</v>
      </c>
      <c r="I31" s="8">
        <v>1450</v>
      </c>
      <c r="J31" s="8">
        <v>273.14</v>
      </c>
      <c r="K31" s="8">
        <v>61.15</v>
      </c>
      <c r="L31" s="8">
        <v>2.4</v>
      </c>
      <c r="M31" s="8">
        <f t="shared" si="4"/>
        <v>0.56315366049878568</v>
      </c>
      <c r="N31" s="9">
        <v>1168</v>
      </c>
      <c r="O31" s="9">
        <v>1063</v>
      </c>
      <c r="P31" s="9">
        <v>11.173</v>
      </c>
      <c r="Q31" s="9">
        <f t="shared" si="5"/>
        <v>6.4498783299763938</v>
      </c>
      <c r="R31" s="9">
        <f t="shared" si="2"/>
        <v>3.2180299539170507</v>
      </c>
      <c r="S31" s="14">
        <v>394</v>
      </c>
      <c r="T31" s="14">
        <v>297</v>
      </c>
      <c r="U31" s="14">
        <v>3.1240000000000001</v>
      </c>
      <c r="V31" s="14">
        <f t="shared" si="6"/>
        <v>19.033232628398792</v>
      </c>
      <c r="W31" s="14">
        <f t="shared" si="3"/>
        <v>0.89976958525345629</v>
      </c>
    </row>
    <row r="32" spans="1:23" s="3" customFormat="1" ht="24" customHeight="1" x14ac:dyDescent="0.5">
      <c r="A32" s="3" t="s">
        <v>33</v>
      </c>
      <c r="B32" s="13">
        <v>288.8</v>
      </c>
      <c r="C32" s="13">
        <f t="shared" ref="C32" si="23">O32/P32</f>
        <v>94.678899082568805</v>
      </c>
      <c r="D32" s="13">
        <f t="shared" ref="D32" si="24">B32*C32</f>
        <v>27343.266055045871</v>
      </c>
      <c r="E32" s="13">
        <v>15172.06</v>
      </c>
      <c r="F32" s="13">
        <v>8413.73</v>
      </c>
      <c r="G32" s="13">
        <v>315</v>
      </c>
      <c r="H32" s="13">
        <v>518</v>
      </c>
      <c r="I32" s="8">
        <v>1500</v>
      </c>
      <c r="J32" s="8">
        <v>246.42</v>
      </c>
      <c r="K32" s="8">
        <v>70.180000000000007</v>
      </c>
      <c r="L32" s="8"/>
      <c r="M32" s="8">
        <f t="shared" si="4"/>
        <v>10.701107011070111</v>
      </c>
      <c r="N32" s="9">
        <v>404</v>
      </c>
      <c r="O32" s="9">
        <v>258</v>
      </c>
      <c r="P32" s="9">
        <v>2.7250000000000001</v>
      </c>
      <c r="Q32" s="9">
        <f t="shared" si="5"/>
        <v>8.6021505376344081</v>
      </c>
      <c r="R32" s="9">
        <f t="shared" si="2"/>
        <v>0.94355955678670356</v>
      </c>
      <c r="S32" s="14">
        <v>484</v>
      </c>
      <c r="T32" s="14">
        <v>325</v>
      </c>
      <c r="U32" s="14">
        <v>3.431</v>
      </c>
      <c r="V32" s="14">
        <f t="shared" si="6"/>
        <v>32.602739726027394</v>
      </c>
      <c r="W32" s="14">
        <f t="shared" si="3"/>
        <v>1.1880193905817176</v>
      </c>
    </row>
    <row r="33" spans="1:23" s="3" customFormat="1" ht="24" customHeight="1" x14ac:dyDescent="0.5">
      <c r="A33" s="3" t="s">
        <v>34</v>
      </c>
      <c r="B33" s="13">
        <v>328.8</v>
      </c>
      <c r="C33" s="13">
        <f t="shared" ref="C33" si="25">O33/P33</f>
        <v>94.89315465411083</v>
      </c>
      <c r="D33" s="13">
        <f t="shared" ref="D33" si="26">B33*C33</f>
        <v>31200.86925027164</v>
      </c>
      <c r="E33" s="13">
        <v>15375.03</v>
      </c>
      <c r="F33" s="13">
        <v>8408.16</v>
      </c>
      <c r="G33" s="13">
        <v>177</v>
      </c>
      <c r="H33" s="13">
        <v>299</v>
      </c>
      <c r="I33" s="8">
        <v>1492</v>
      </c>
      <c r="J33" s="8">
        <v>254.19</v>
      </c>
      <c r="K33" s="8">
        <v>83.1</v>
      </c>
      <c r="L33" s="8"/>
      <c r="M33" s="8">
        <f t="shared" si="4"/>
        <v>11.343283582089553</v>
      </c>
      <c r="N33" s="9">
        <v>403</v>
      </c>
      <c r="O33" s="9">
        <v>262</v>
      </c>
      <c r="P33" s="9">
        <v>2.7610000000000001</v>
      </c>
      <c r="Q33" s="9">
        <f t="shared" si="5"/>
        <v>33.887043189368768</v>
      </c>
      <c r="R33" s="9">
        <f t="shared" si="2"/>
        <v>0.83972019464720193</v>
      </c>
      <c r="S33" s="14">
        <v>501</v>
      </c>
      <c r="T33" s="14">
        <v>375</v>
      </c>
      <c r="U33" s="14">
        <v>3.9620000000000002</v>
      </c>
      <c r="V33" s="14">
        <f t="shared" si="6"/>
        <v>36.51226158038147</v>
      </c>
      <c r="W33" s="14">
        <f t="shared" si="3"/>
        <v>1.2049878345498783</v>
      </c>
    </row>
    <row r="34" spans="1:23" s="10" customFormat="1" ht="24" customHeight="1" x14ac:dyDescent="0.5">
      <c r="A34" s="10" t="s">
        <v>35</v>
      </c>
      <c r="B34" s="13">
        <v>322.60000000000002</v>
      </c>
      <c r="C34" s="13">
        <f t="shared" ref="C34" si="27">O34/P34</f>
        <v>94.56635318704285</v>
      </c>
      <c r="D34" s="13">
        <f t="shared" ref="D34" si="28">B34*C34</f>
        <v>30507.105538140026</v>
      </c>
      <c r="E34" s="13">
        <v>15412.33</v>
      </c>
      <c r="F34" s="13">
        <v>8309.4500000000007</v>
      </c>
      <c r="G34" s="13">
        <v>364</v>
      </c>
      <c r="H34" s="13">
        <v>511</v>
      </c>
      <c r="I34" s="15">
        <v>1546</v>
      </c>
      <c r="J34" s="15">
        <v>262.89</v>
      </c>
      <c r="K34" s="15">
        <v>79.12</v>
      </c>
      <c r="L34" s="15"/>
      <c r="M34" s="8">
        <f t="shared" si="4"/>
        <v>10.349750178443969</v>
      </c>
      <c r="N34" s="9">
        <v>485</v>
      </c>
      <c r="O34" s="9">
        <v>362</v>
      </c>
      <c r="P34" s="9">
        <v>3.8279999999999998</v>
      </c>
      <c r="Q34" s="9">
        <f t="shared" si="5"/>
        <v>-6.0077519379844961</v>
      </c>
      <c r="R34" s="9">
        <f t="shared" si="2"/>
        <v>1.1866088034717917</v>
      </c>
      <c r="S34" s="14">
        <v>555</v>
      </c>
      <c r="T34" s="14">
        <v>449</v>
      </c>
      <c r="U34" s="14">
        <v>4.7530000000000001</v>
      </c>
      <c r="V34" s="14">
        <f t="shared" si="6"/>
        <v>35.696821515892424</v>
      </c>
      <c r="W34" s="14">
        <f t="shared" si="3"/>
        <v>1.4733415995040298</v>
      </c>
    </row>
    <row r="35" spans="1:23" s="3" customFormat="1" ht="24" customHeight="1" x14ac:dyDescent="0.5">
      <c r="A35" s="3" t="s">
        <v>36</v>
      </c>
      <c r="B35" s="13">
        <v>288.8</v>
      </c>
      <c r="C35" s="13">
        <f t="shared" ref="C35" si="29">O35/P35</f>
        <v>93.978419770274968</v>
      </c>
      <c r="D35" s="13">
        <f t="shared" ref="D35" si="30">B35*C35</f>
        <v>27140.967629655413</v>
      </c>
      <c r="E35" s="13">
        <v>15772.46</v>
      </c>
      <c r="F35" s="13">
        <v>8736.81</v>
      </c>
      <c r="G35" s="13">
        <v>547</v>
      </c>
      <c r="H35" s="13">
        <v>342</v>
      </c>
      <c r="I35" s="8">
        <v>1552</v>
      </c>
      <c r="J35" s="8">
        <v>271.75</v>
      </c>
      <c r="K35" s="8">
        <v>109.71</v>
      </c>
      <c r="L35" s="8">
        <v>3.4</v>
      </c>
      <c r="M35" s="8">
        <f t="shared" si="4"/>
        <v>7.0344827586206895</v>
      </c>
      <c r="N35" s="9">
        <v>414</v>
      </c>
      <c r="O35" s="9">
        <v>270</v>
      </c>
      <c r="P35" s="9">
        <v>2.8730000000000002</v>
      </c>
      <c r="Q35" s="9">
        <f t="shared" si="5"/>
        <v>-64.554794520547944</v>
      </c>
      <c r="R35" s="9">
        <f t="shared" si="2"/>
        <v>0.99480609418282551</v>
      </c>
      <c r="S35" s="14">
        <v>491</v>
      </c>
      <c r="T35" s="14">
        <v>427</v>
      </c>
      <c r="U35" s="14">
        <v>4.5369999999999999</v>
      </c>
      <c r="V35" s="14">
        <f t="shared" si="6"/>
        <v>24.619289340101524</v>
      </c>
      <c r="W35" s="14">
        <f t="shared" si="3"/>
        <v>1.570983379501385</v>
      </c>
    </row>
    <row r="36" spans="1:23" s="3" customFormat="1" ht="24" customHeight="1" x14ac:dyDescent="0.5">
      <c r="A36" s="3" t="s">
        <v>37</v>
      </c>
      <c r="B36" s="13">
        <v>381.8</v>
      </c>
      <c r="C36" s="13">
        <f t="shared" ref="C36:C39" si="31">O36/P36</f>
        <v>93.547666889930781</v>
      </c>
      <c r="D36" s="13">
        <f t="shared" ref="D36:D39" si="32">B36*C36</f>
        <v>35716.499218575576</v>
      </c>
      <c r="E36" s="13">
        <v>16466.77</v>
      </c>
      <c r="F36" s="13">
        <v>9167.69</v>
      </c>
      <c r="G36" s="13">
        <v>925</v>
      </c>
      <c r="H36" s="13">
        <v>519</v>
      </c>
      <c r="I36" s="8">
        <v>1595</v>
      </c>
      <c r="J36" s="8">
        <v>248.09</v>
      </c>
      <c r="K36" s="8">
        <v>75.36</v>
      </c>
      <c r="L36" s="8"/>
      <c r="M36" s="8">
        <f t="shared" si="4"/>
        <v>6.333333333333333</v>
      </c>
      <c r="N36" s="9">
        <v>526</v>
      </c>
      <c r="O36" s="9">
        <v>419</v>
      </c>
      <c r="P36" s="9">
        <v>4.4790000000000001</v>
      </c>
      <c r="Q36" s="9">
        <f t="shared" si="5"/>
        <v>30.198019801980198</v>
      </c>
      <c r="R36" s="9">
        <f t="shared" si="2"/>
        <v>1.1731272917757989</v>
      </c>
      <c r="S36" s="14">
        <v>586</v>
      </c>
      <c r="T36" s="14">
        <v>503</v>
      </c>
      <c r="U36" s="14">
        <v>5.375</v>
      </c>
      <c r="V36" s="14">
        <f t="shared" si="6"/>
        <v>21.074380165289256</v>
      </c>
      <c r="W36" s="14">
        <f t="shared" si="3"/>
        <v>1.4078051335777895</v>
      </c>
    </row>
    <row r="37" spans="1:23" s="3" customFormat="1" ht="24" customHeight="1" x14ac:dyDescent="0.5">
      <c r="A37" s="3" t="s">
        <v>38</v>
      </c>
      <c r="B37" s="13">
        <v>373.8</v>
      </c>
      <c r="C37" s="13">
        <f t="shared" si="31"/>
        <v>93.114241001564949</v>
      </c>
      <c r="D37" s="13">
        <f t="shared" si="32"/>
        <v>34806.103286384976</v>
      </c>
      <c r="E37" s="13">
        <v>16549.7</v>
      </c>
      <c r="F37" s="13">
        <v>9275.9699999999993</v>
      </c>
      <c r="G37" s="13">
        <v>718</v>
      </c>
      <c r="H37" s="13">
        <v>404</v>
      </c>
      <c r="I37" s="8">
        <v>1611</v>
      </c>
      <c r="J37" s="8">
        <v>274.91000000000003</v>
      </c>
      <c r="K37" s="8">
        <v>91.56</v>
      </c>
      <c r="L37" s="8"/>
      <c r="M37" s="8">
        <f t="shared" si="4"/>
        <v>7.975871313672922</v>
      </c>
      <c r="N37" s="9">
        <v>507</v>
      </c>
      <c r="O37" s="9">
        <v>476</v>
      </c>
      <c r="P37" s="9">
        <v>5.1120000000000001</v>
      </c>
      <c r="Q37" s="9">
        <f t="shared" si="5"/>
        <v>25.806451612903224</v>
      </c>
      <c r="R37" s="9">
        <f t="shared" si="2"/>
        <v>1.3675762439807382</v>
      </c>
      <c r="S37" s="14">
        <v>584</v>
      </c>
      <c r="T37" s="14">
        <v>573</v>
      </c>
      <c r="U37" s="14">
        <v>6.1509999999999998</v>
      </c>
      <c r="V37" s="14">
        <f t="shared" si="6"/>
        <v>16.56686626746507</v>
      </c>
      <c r="W37" s="14">
        <f t="shared" si="3"/>
        <v>1.6455323702514715</v>
      </c>
    </row>
    <row r="38" spans="1:23" s="3" customFormat="1" ht="24" customHeight="1" x14ac:dyDescent="0.5">
      <c r="A38" s="3" t="s">
        <v>39</v>
      </c>
      <c r="B38" s="13">
        <v>403.8</v>
      </c>
      <c r="C38" s="13">
        <f t="shared" si="31"/>
        <v>92.32905241235683</v>
      </c>
      <c r="D38" s="13">
        <f t="shared" si="32"/>
        <v>37282.47136410969</v>
      </c>
      <c r="E38" s="13">
        <v>17233.57</v>
      </c>
      <c r="F38" s="13">
        <v>9805.07</v>
      </c>
      <c r="G38" s="13">
        <v>955</v>
      </c>
      <c r="H38" s="13">
        <v>585</v>
      </c>
      <c r="I38" s="8">
        <v>1672</v>
      </c>
      <c r="J38" s="8">
        <v>290.58</v>
      </c>
      <c r="K38" s="8">
        <v>94.11</v>
      </c>
      <c r="L38" s="8"/>
      <c r="M38" s="8">
        <f t="shared" si="4"/>
        <v>8.1500646830530403</v>
      </c>
      <c r="N38" s="9">
        <v>533</v>
      </c>
      <c r="O38" s="9">
        <v>532</v>
      </c>
      <c r="P38" s="9">
        <v>5.7619999999999996</v>
      </c>
      <c r="Q38" s="9">
        <f t="shared" si="5"/>
        <v>9.8969072164948457</v>
      </c>
      <c r="R38" s="9">
        <f t="shared" si="2"/>
        <v>1.4269440316988606</v>
      </c>
      <c r="S38" s="14">
        <v>613</v>
      </c>
      <c r="T38" s="14">
        <v>598</v>
      </c>
      <c r="U38" s="14">
        <v>6.4749999999999996</v>
      </c>
      <c r="V38" s="14">
        <f t="shared" si="6"/>
        <v>10.45045045045045</v>
      </c>
      <c r="W38" s="14">
        <f t="shared" si="3"/>
        <v>1.6035165923724615</v>
      </c>
    </row>
    <row r="39" spans="1:23" s="3" customFormat="1" ht="24" customHeight="1" x14ac:dyDescent="0.5">
      <c r="A39" s="3" t="s">
        <v>40</v>
      </c>
      <c r="B39" s="13">
        <v>540</v>
      </c>
      <c r="C39" s="13">
        <f t="shared" si="31"/>
        <v>91.656244416651774</v>
      </c>
      <c r="D39" s="13">
        <f t="shared" si="32"/>
        <v>49494.371984991958</v>
      </c>
      <c r="E39" s="13">
        <v>17809.95</v>
      </c>
      <c r="F39" s="13">
        <v>10538.96</v>
      </c>
      <c r="G39" s="13">
        <v>768</v>
      </c>
      <c r="H39" s="13">
        <v>45</v>
      </c>
      <c r="I39" s="8">
        <v>1724</v>
      </c>
      <c r="J39" s="8">
        <v>314.02999999999997</v>
      </c>
      <c r="K39" s="8">
        <v>102.85</v>
      </c>
      <c r="L39" s="8">
        <v>4.5</v>
      </c>
      <c r="M39" s="8">
        <f t="shared" si="4"/>
        <v>11.082474226804123</v>
      </c>
      <c r="N39" s="9">
        <v>515</v>
      </c>
      <c r="O39" s="9">
        <v>513</v>
      </c>
      <c r="P39" s="9">
        <v>5.5970000000000004</v>
      </c>
      <c r="Q39" s="9">
        <f t="shared" si="5"/>
        <v>24.396135265700483</v>
      </c>
      <c r="R39" s="9">
        <f t="shared" si="2"/>
        <v>1.0364814814814816</v>
      </c>
      <c r="S39" s="14">
        <v>595</v>
      </c>
      <c r="T39" s="14">
        <v>553</v>
      </c>
      <c r="U39" s="14">
        <v>6.032</v>
      </c>
      <c r="V39" s="14">
        <f t="shared" si="6"/>
        <v>21.181262729124235</v>
      </c>
      <c r="W39" s="14">
        <f t="shared" si="3"/>
        <v>1.1170370370370371</v>
      </c>
    </row>
    <row r="40" spans="1:23" s="3" customFormat="1" ht="24" customHeight="1" x14ac:dyDescent="0.5">
      <c r="A40" s="3" t="s">
        <v>41</v>
      </c>
      <c r="B40" s="13">
        <v>521</v>
      </c>
      <c r="C40" s="13">
        <f>O40/P40</f>
        <v>91.012947448591021</v>
      </c>
      <c r="D40" s="13">
        <f>B40*C40</f>
        <v>47417.745620715919</v>
      </c>
      <c r="E40" s="13">
        <v>19182.8</v>
      </c>
      <c r="F40" s="13">
        <v>11229.38</v>
      </c>
      <c r="G40" s="13">
        <v>902</v>
      </c>
      <c r="H40" s="13">
        <v>471</v>
      </c>
      <c r="I40" s="8">
        <v>1800</v>
      </c>
      <c r="J40" s="8">
        <v>336.64</v>
      </c>
      <c r="K40" s="8">
        <v>78.66</v>
      </c>
      <c r="L40" s="8"/>
      <c r="M40" s="8">
        <f t="shared" si="4"/>
        <v>12.852664576802507</v>
      </c>
      <c r="N40" s="9">
        <v>576</v>
      </c>
      <c r="O40" s="9">
        <v>478</v>
      </c>
      <c r="P40" s="9">
        <v>5.2519999999999998</v>
      </c>
      <c r="Q40" s="9">
        <f t="shared" si="5"/>
        <v>9.5057034220532319</v>
      </c>
      <c r="R40" s="9">
        <f t="shared" si="2"/>
        <v>1.0080614203454894</v>
      </c>
      <c r="S40" s="14">
        <v>693</v>
      </c>
      <c r="T40" s="14">
        <v>613</v>
      </c>
      <c r="U40" s="14">
        <v>6.7350000000000003</v>
      </c>
      <c r="V40" s="14">
        <f t="shared" si="6"/>
        <v>18.25938566552901</v>
      </c>
      <c r="W40" s="14">
        <f t="shared" si="3"/>
        <v>1.2927063339731286</v>
      </c>
    </row>
    <row r="41" spans="1:23" s="3" customFormat="1" ht="24" customHeight="1" x14ac:dyDescent="0.5">
      <c r="A41" s="3" t="s">
        <v>42</v>
      </c>
      <c r="B41" s="13">
        <v>586</v>
      </c>
      <c r="C41" s="13">
        <f>O41/P41</f>
        <v>90.923957481602613</v>
      </c>
      <c r="D41" s="13">
        <f>B41*C41</f>
        <v>53281.439084219135</v>
      </c>
      <c r="E41" s="13">
        <v>20133.099999999999</v>
      </c>
      <c r="F41" s="13">
        <v>12028.49</v>
      </c>
      <c r="G41" s="13">
        <v>746</v>
      </c>
      <c r="H41" s="13">
        <v>430</v>
      </c>
      <c r="I41" s="8">
        <v>1845</v>
      </c>
      <c r="J41" s="8">
        <v>319.20999999999998</v>
      </c>
      <c r="K41" s="8">
        <v>94.1</v>
      </c>
      <c r="L41" s="8"/>
      <c r="M41" s="8">
        <f t="shared" si="4"/>
        <v>14.525139664804469</v>
      </c>
      <c r="N41" s="9">
        <v>601</v>
      </c>
      <c r="O41" s="9">
        <v>556</v>
      </c>
      <c r="P41" s="9">
        <v>6.1150000000000002</v>
      </c>
      <c r="Q41" s="9">
        <f t="shared" si="5"/>
        <v>18.54043392504931</v>
      </c>
      <c r="R41" s="9">
        <f t="shared" si="2"/>
        <v>1.0435153583617747</v>
      </c>
      <c r="S41" s="14">
        <v>692</v>
      </c>
      <c r="T41" s="14">
        <v>631</v>
      </c>
      <c r="U41" s="14">
        <v>6.931</v>
      </c>
      <c r="V41" s="14">
        <f t="shared" si="6"/>
        <v>18.493150684931507</v>
      </c>
      <c r="W41" s="14">
        <f t="shared" si="3"/>
        <v>1.182764505119454</v>
      </c>
    </row>
    <row r="42" spans="1:23" s="3" customFormat="1" ht="24" customHeight="1" x14ac:dyDescent="0.5">
      <c r="A42" s="3" t="s">
        <v>43</v>
      </c>
      <c r="B42" s="13">
        <v>656</v>
      </c>
      <c r="C42" s="13">
        <f>O42/P42</f>
        <v>90.812715765247418</v>
      </c>
      <c r="D42" s="13">
        <f>B42*C42</f>
        <v>59573.141542002304</v>
      </c>
      <c r="E42" s="13">
        <v>20732.72</v>
      </c>
      <c r="F42" s="13">
        <v>12605.15</v>
      </c>
      <c r="G42" s="13">
        <v>1024.22</v>
      </c>
      <c r="H42" s="13">
        <v>585</v>
      </c>
      <c r="I42" s="8">
        <v>1928.69</v>
      </c>
      <c r="J42" s="8">
        <v>342.59</v>
      </c>
      <c r="K42" s="8">
        <v>114.68</v>
      </c>
      <c r="L42" s="8"/>
      <c r="M42" s="8">
        <f t="shared" si="4"/>
        <v>15.352272727272732</v>
      </c>
      <c r="N42" s="9">
        <v>635.54</v>
      </c>
      <c r="O42" s="9">
        <v>631.33000000000004</v>
      </c>
      <c r="P42" s="9">
        <v>6.952</v>
      </c>
      <c r="Q42" s="9">
        <f t="shared" si="5"/>
        <v>19.238273921200744</v>
      </c>
      <c r="R42" s="9">
        <f t="shared" si="2"/>
        <v>1.0597560975609757</v>
      </c>
      <c r="S42" s="14">
        <v>725.7</v>
      </c>
      <c r="T42" s="14">
        <v>705.51</v>
      </c>
      <c r="U42" s="14">
        <v>7.7690000000000001</v>
      </c>
      <c r="V42" s="14">
        <f t="shared" si="6"/>
        <v>18.384991843393156</v>
      </c>
      <c r="W42" s="14">
        <f t="shared" si="3"/>
        <v>1.1842987804878049</v>
      </c>
    </row>
    <row r="43" spans="1:23" s="3" customFormat="1" ht="24" customHeight="1" x14ac:dyDescent="0.5">
      <c r="A43" s="3" t="s">
        <v>44</v>
      </c>
      <c r="B43" s="13"/>
      <c r="C43" s="13"/>
      <c r="D43" s="13"/>
      <c r="E43" s="13"/>
      <c r="F43" s="13"/>
      <c r="G43" s="13"/>
      <c r="H43" s="13"/>
      <c r="I43" s="8"/>
      <c r="J43" s="8"/>
      <c r="K43" s="8"/>
      <c r="L43" s="8"/>
      <c r="M43" s="8"/>
      <c r="N43" s="9"/>
      <c r="O43" s="9"/>
      <c r="P43" s="9"/>
      <c r="Q43" s="9"/>
      <c r="R43" s="9"/>
      <c r="S43" s="14"/>
      <c r="T43" s="14"/>
      <c r="U43" s="14"/>
      <c r="V43" s="14"/>
      <c r="W43" s="1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腾讯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thielzhang(张文)</dc:creator>
  <cp:lastModifiedBy>张文</cp:lastModifiedBy>
  <dcterms:created xsi:type="dcterms:W3CDTF">2015-06-05T18:19:34Z</dcterms:created>
  <dcterms:modified xsi:type="dcterms:W3CDTF">2025-12-29T15:31:44Z</dcterms:modified>
</cp:coreProperties>
</file>